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beifen\Download\coding\avionics_architecture_agent\20260115_generator_V2.1\20260119_newer\backend\uploads\"/>
    </mc:Choice>
  </mc:AlternateContent>
  <xr:revisionPtr revIDLastSave="0" documentId="13_ncr:1_{2D6376EA-AED0-446A-BD99-D796FB5D11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8" i="1"/>
  <c r="F5" i="1"/>
  <c r="E5" i="1"/>
  <c r="G5" i="1"/>
  <c r="G12" i="1"/>
  <c r="G14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3" i="1"/>
  <c r="G36" i="1"/>
  <c r="G37" i="1"/>
  <c r="G38" i="1"/>
  <c r="G39" i="1"/>
  <c r="G40" i="1"/>
  <c r="G41" i="1"/>
  <c r="G42" i="1"/>
  <c r="G43" i="1"/>
  <c r="G44" i="1"/>
  <c r="G45" i="1"/>
  <c r="G46" i="1"/>
  <c r="F37" i="1"/>
  <c r="F38" i="1"/>
  <c r="F39" i="1"/>
  <c r="F40" i="1"/>
  <c r="F41" i="1"/>
  <c r="F42" i="1"/>
  <c r="F43" i="1"/>
  <c r="F44" i="1"/>
  <c r="F45" i="1"/>
  <c r="F46" i="1"/>
  <c r="F36" i="1"/>
  <c r="F6" i="1"/>
  <c r="F7" i="1"/>
  <c r="F9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4" i="1"/>
  <c r="E42" i="1"/>
  <c r="E43" i="1"/>
  <c r="E44" i="1"/>
  <c r="E45" i="1"/>
  <c r="E46" i="1"/>
  <c r="E37" i="1"/>
  <c r="E38" i="1"/>
  <c r="E39" i="1"/>
  <c r="E40" i="1"/>
  <c r="E41" i="1"/>
  <c r="E36" i="1"/>
  <c r="E34" i="1"/>
  <c r="E20" i="1"/>
  <c r="E21" i="1"/>
  <c r="E22" i="1"/>
  <c r="E23" i="1"/>
  <c r="E24" i="1"/>
  <c r="E25" i="1"/>
  <c r="E26" i="1"/>
  <c r="E27" i="1"/>
  <c r="E28" i="1"/>
  <c r="E29" i="1"/>
  <c r="E30" i="1"/>
  <c r="E31" i="1"/>
  <c r="E19" i="1"/>
  <c r="E10" i="1"/>
  <c r="E11" i="1"/>
  <c r="E12" i="1"/>
  <c r="E13" i="1"/>
  <c r="E14" i="1"/>
  <c r="E15" i="1"/>
  <c r="E16" i="1"/>
  <c r="E17" i="1"/>
  <c r="E18" i="1"/>
  <c r="E9" i="1"/>
  <c r="E6" i="1"/>
  <c r="E7" i="1"/>
  <c r="E8" i="1"/>
  <c r="E4" i="1"/>
</calcChain>
</file>

<file path=xl/sharedStrings.xml><?xml version="1.0" encoding="utf-8"?>
<sst xmlns="http://schemas.openxmlformats.org/spreadsheetml/2006/main" count="233" uniqueCount="76">
  <si>
    <t>模块名称</t>
    <phoneticPr fontId="1" type="noConversion"/>
  </si>
  <si>
    <t>模块类型</t>
    <phoneticPr fontId="1" type="noConversion"/>
  </si>
  <si>
    <t>可靠度</t>
    <phoneticPr fontId="1" type="noConversion"/>
  </si>
  <si>
    <t>A1</t>
    <phoneticPr fontId="1" type="noConversion"/>
  </si>
  <si>
    <t>A2</t>
    <phoneticPr fontId="1" type="noConversion"/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</si>
  <si>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</si>
  <si>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</si>
  <si>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</si>
  <si>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</si>
  <si>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</si>
  <si>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</si>
  <si>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</si>
  <si>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</si>
  <si>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</si>
  <si>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</si>
  <si>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</si>
  <si>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</si>
  <si>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</si>
  <si>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B1</t>
    <phoneticPr fontId="1" type="noConversion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</si>
  <si>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</si>
  <si>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</si>
  <si>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</si>
  <si>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</si>
  <si>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</si>
  <si>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</si>
  <si>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</si>
  <si>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</si>
  <si>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</si>
  <si>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</si>
  <si>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</si>
  <si>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</si>
  <si>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C1</t>
    <phoneticPr fontId="1" type="noConversion"/>
  </si>
  <si>
    <t>C2</t>
  </si>
  <si>
    <t>C3</t>
  </si>
  <si>
    <t>C4</t>
  </si>
  <si>
    <t>设备</t>
  </si>
  <si>
    <t>模块分类</t>
    <phoneticPr fontId="1" type="noConversion"/>
  </si>
  <si>
    <t>电源</t>
  </si>
  <si>
    <t>D1</t>
    <phoneticPr fontId="1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</si>
  <si>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</si>
  <si>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</si>
  <si>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</si>
  <si>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</si>
  <si>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</si>
  <si>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</si>
  <si>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</si>
  <si>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</si>
  <si>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</si>
  <si>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</si>
  <si>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线缆</t>
  </si>
  <si>
    <t>控制器</t>
    <phoneticPr fontId="1" type="noConversion"/>
  </si>
  <si>
    <t>作动器</t>
    <phoneticPr fontId="1" type="noConversion"/>
  </si>
  <si>
    <t>支撑杆</t>
    <phoneticPr fontId="1" type="noConversion"/>
  </si>
  <si>
    <t>以太网</t>
    <phoneticPr fontId="1" type="noConversion"/>
  </si>
  <si>
    <t>光纤</t>
    <phoneticPr fontId="1" type="noConversion"/>
  </si>
  <si>
    <t>电气,信号</t>
    <phoneticPr fontId="1" type="noConversion"/>
  </si>
  <si>
    <t>信号</t>
    <phoneticPr fontId="1" type="noConversion"/>
  </si>
  <si>
    <t>电气</t>
    <phoneticPr fontId="1" type="noConversion"/>
  </si>
  <si>
    <t>成本(元)</t>
    <phoneticPr fontId="1" type="noConversion"/>
  </si>
  <si>
    <t>重量(千克)</t>
    <phoneticPr fontId="1" type="noConversion"/>
  </si>
  <si>
    <t>功耗(瓦)</t>
    <phoneticPr fontId="1" type="noConversion"/>
  </si>
  <si>
    <t>moduleName</t>
    <phoneticPr fontId="1" type="noConversion"/>
  </si>
  <si>
    <t>moduleType</t>
    <phoneticPr fontId="1" type="noConversion"/>
  </si>
  <si>
    <t>moduleCategory</t>
    <phoneticPr fontId="1" type="noConversion"/>
  </si>
  <si>
    <t>cost</t>
    <phoneticPr fontId="1" type="noConversion"/>
  </si>
  <si>
    <t>weight</t>
    <phoneticPr fontId="1" type="noConversion"/>
  </si>
  <si>
    <t>power</t>
    <phoneticPr fontId="1" type="noConversion"/>
  </si>
  <si>
    <t>reliability</t>
    <phoneticPr fontId="1" type="noConversion"/>
  </si>
  <si>
    <t>moduleInterface</t>
    <phoneticPr fontId="1" type="noConversion"/>
  </si>
  <si>
    <t>模块接口</t>
    <phoneticPr fontId="1" type="noConversion"/>
  </si>
  <si>
    <t>输入</t>
    <phoneticPr fontId="1" type="noConversion"/>
  </si>
  <si>
    <t>输出</t>
    <phoneticPr fontId="1" type="noConversion"/>
  </si>
  <si>
    <t>null</t>
    <phoneticPr fontId="1" type="noConversion"/>
  </si>
  <si>
    <t>信号</t>
  </si>
  <si>
    <t>电气</t>
  </si>
  <si>
    <t>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</si>
</sst>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M11" sqref="M11"/>
    </sheetView>
  </sheetViews>
  <sheetFormatPr defaultColWidth="8.875" defaultRowHeight="14.25" x14ac:dyDescent="0.2"/>
  <cols>
    <col min="1" max="1" width="14.5" style="3" bestFit="1" customWidth="1"/>
    <col min="2" max="2" width="13.5" style="3" bestFit="1" customWidth="1"/>
    <col min="3" max="3" width="17.625" style="3" bestFit="1" customWidth="1"/>
    <col min="4" max="4" width="9.75" style="3" customWidth="1"/>
    <col min="5" max="5" width="9.5" style="3" customWidth="1"/>
    <col min="6" max="6" width="10.25" style="3" customWidth="1"/>
    <col min="7" max="7" width="9.75" style="3" customWidth="1"/>
    <col min="8" max="8" width="20.5" style="3" customWidth="1"/>
    <col min="9" max="9" width="8.875" style="3"/>
    <col min="10" max="16384" width="8.875" style="1"/>
  </cols>
  <sheetData>
    <row r="1" spans="1:9" x14ac:dyDescent="0.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4" t="s">
        <v>68</v>
      </c>
      <c r="I1" s="4"/>
    </row>
    <row r="2" spans="1:9" x14ac:dyDescent="0.2">
      <c r="A2" s="5" t="s">
        <v>0</v>
      </c>
      <c r="B2" s="5" t="s">
        <v>1</v>
      </c>
      <c r="C2" s="5" t="s">
        <v>36</v>
      </c>
      <c r="D2" s="5" t="s">
        <v>58</v>
      </c>
      <c r="E2" s="5" t="s">
        <v>59</v>
      </c>
      <c r="F2" s="5" t="s">
        <v>60</v>
      </c>
      <c r="G2" s="5" t="s">
        <v>2</v>
      </c>
      <c r="H2" s="4" t="s">
        <v>69</v>
      </c>
      <c r="I2" s="4"/>
    </row>
    <row r="3" spans="1:9" x14ac:dyDescent="0.2">
      <c r="A3" s="6"/>
      <c r="B3" s="6"/>
      <c r="C3" s="6"/>
      <c r="D3" s="6"/>
      <c r="E3" s="6"/>
      <c r="F3" s="6"/>
      <c r="G3" s="6"/>
      <c r="H3" s="2" t="s">
        <v>70</v>
      </c>
      <c r="I3" s="2" t="s">
        <v>71</v>
      </c>
    </row>
    <row r="4" spans="1:9" x14ac:dyDescent="0.2">
      <c r="A4" s="3" t="s">
        <v>3</v>
      </c>
      <c r="B4" s="3" t="s">
        <v>35</v>
      </c>
      <c r="C4" s="3" t="s">
        <v>50</v>
      </c>
      <c r="D4" s="3">
        <v>2000</v>
      </c>
      <c r="E4" s="3">
        <f ca="1">RAND()*20+30</f>
        <v>32.437651971785343</v>
      </c>
      <c r="F4" s="3">
        <f ca="1">RAND()*200+200</f>
        <v>310.22811103650622</v>
      </c>
      <c r="G4" s="3">
        <v>0.98</v>
      </c>
      <c r="H4" s="3" t="s">
        <v>57</v>
      </c>
      <c r="I4" s="3" t="s">
        <v>56</v>
      </c>
    </row>
    <row r="5" spans="1:9" x14ac:dyDescent="0.2">
      <c r="A5" s="3" t="s">
        <v>4</v>
      </c>
      <c r="B5" s="3" t="s">
        <v>35</v>
      </c>
      <c r="C5" s="3" t="s">
        <v>50</v>
      </c>
      <c r="D5" s="3">
        <v>2050</v>
      </c>
      <c r="E5" s="3">
        <f t="shared" ref="E5:E8" ca="1" si="0">RAND()*20+30</f>
        <v>41.23874965443585</v>
      </c>
      <c r="F5" s="3">
        <f ca="1">RAND()*200+200</f>
        <v>295.48599937471045</v>
      </c>
      <c r="G5" s="3">
        <f t="shared" ref="G5:G46" ca="1" si="1">RAND()*0.2+0.8</f>
        <v>0.97220361775145203</v>
      </c>
      <c r="H5" s="3" t="s">
        <v>57</v>
      </c>
      <c r="I5" s="3" t="s">
        <v>56</v>
      </c>
    </row>
    <row r="6" spans="1:9" x14ac:dyDescent="0.2">
      <c r="A6" s="3" t="s">
        <v>5</v>
      </c>
      <c r="B6" s="3" t="s">
        <v>35</v>
      </c>
      <c r="C6" s="3" t="s">
        <v>50</v>
      </c>
      <c r="D6" s="3">
        <v>2100</v>
      </c>
      <c r="E6" s="3">
        <f t="shared" ca="1" si="0"/>
        <v>49.33811004482321</v>
      </c>
      <c r="F6" s="3">
        <f t="shared" ref="F6:F31" ca="1" si="2">RAND()*200+200</f>
        <v>270.03075379370193</v>
      </c>
      <c r="G6" s="3">
        <v>0.98</v>
      </c>
      <c r="H6" s="3" t="s">
        <v>57</v>
      </c>
      <c r="I6" s="3" t="s">
        <v>56</v>
      </c>
    </row>
    <row r="7" spans="1:9" x14ac:dyDescent="0.2">
      <c r="A7" s="3" t="s">
        <v>6</v>
      </c>
      <c r="B7" s="3" t="s">
        <v>35</v>
      </c>
      <c r="C7" s="3" t="s">
        <v>50</v>
      </c>
      <c r="D7" s="3">
        <v>2150</v>
      </c>
      <c r="E7" s="3">
        <f t="shared" ca="1" si="0"/>
        <v>47.525412402170531</v>
      </c>
      <c r="F7" s="3">
        <f t="shared" ca="1" si="2"/>
        <v>314.67045325221108</v>
      </c>
      <c r="G7" s="3">
        <v>0.98</v>
      </c>
      <c r="H7" s="3" t="s">
        <v>57</v>
      </c>
      <c r="I7" s="3" t="s">
        <v>56</v>
      </c>
    </row>
    <row r="8" spans="1:9" x14ac:dyDescent="0.2">
      <c r="A8" s="3" t="s">
        <v>7</v>
      </c>
      <c r="B8" s="3" t="s">
        <v>35</v>
      </c>
      <c r="C8" s="3" t="s">
        <v>50</v>
      </c>
      <c r="D8" s="3">
        <v>2200</v>
      </c>
      <c r="E8" s="3">
        <f t="shared" ca="1" si="0"/>
        <v>47.946521450087289</v>
      </c>
      <c r="F8" s="3">
        <f ca="1">RAND()*200+200</f>
        <v>217.6412433635048</v>
      </c>
      <c r="G8" s="3">
        <v>0.98</v>
      </c>
      <c r="H8" s="3" t="s">
        <v>57</v>
      </c>
      <c r="I8" s="3" t="s">
        <v>56</v>
      </c>
    </row>
    <row r="9" spans="1:9" x14ac:dyDescent="0.2">
      <c r="A9" s="3" t="s">
        <v>8</v>
      </c>
      <c r="B9" s="3" t="s">
        <v>35</v>
      </c>
      <c r="C9" s="3" t="s">
        <v>51</v>
      </c>
      <c r="D9" s="3">
        <v>3000</v>
      </c>
      <c r="E9" s="3">
        <f ca="1">RAND()*30+50</f>
        <v>73.195678217743236</v>
      </c>
      <c r="F9" s="3">
        <f t="shared" ca="1" si="2"/>
        <v>253.47913597999386</v>
      </c>
      <c r="G9" s="3">
        <v>0.98</v>
      </c>
      <c r="H9" s="3" t="s">
        <v>55</v>
      </c>
      <c r="I9" s="3" t="s">
        <v>72</v>
      </c>
    </row>
    <row r="10" spans="1:9" x14ac:dyDescent="0.2">
      <c r="A10" s="3" t="s">
        <v>9</v>
      </c>
      <c r="B10" s="3" t="s">
        <v>35</v>
      </c>
      <c r="C10" s="3" t="s">
        <v>51</v>
      </c>
      <c r="D10" s="3">
        <v>3050</v>
      </c>
      <c r="E10" s="3">
        <f t="shared" ref="E10:E18" ca="1" si="3">RAND()*30+50</f>
        <v>63.248977286570508</v>
      </c>
      <c r="F10" s="3">
        <f ca="1">RAND()*200+200</f>
        <v>387.61764064130637</v>
      </c>
      <c r="G10" s="3">
        <v>0.98</v>
      </c>
      <c r="H10" s="3" t="s">
        <v>55</v>
      </c>
      <c r="I10" s="3" t="s">
        <v>72</v>
      </c>
    </row>
    <row r="11" spans="1:9" x14ac:dyDescent="0.2">
      <c r="A11" s="3" t="s">
        <v>10</v>
      </c>
      <c r="B11" s="3" t="s">
        <v>35</v>
      </c>
      <c r="C11" s="3" t="s">
        <v>51</v>
      </c>
      <c r="D11" s="3">
        <v>3100</v>
      </c>
      <c r="E11" s="3">
        <f t="shared" ca="1" si="3"/>
        <v>67.792744288665489</v>
      </c>
      <c r="F11" s="3">
        <f ca="1">RAND()*200+200</f>
        <v>308.07452986110314</v>
      </c>
      <c r="G11" s="3">
        <v>0.98</v>
      </c>
      <c r="H11" s="3" t="s">
        <v>55</v>
      </c>
      <c r="I11" s="3" t="s">
        <v>72</v>
      </c>
    </row>
    <row r="12" spans="1:9" x14ac:dyDescent="0.2">
      <c r="A12" s="3" t="s">
        <v>11</v>
      </c>
      <c r="B12" s="3" t="s">
        <v>35</v>
      </c>
      <c r="C12" s="3" t="s">
        <v>51</v>
      </c>
      <c r="D12" s="3">
        <v>3150</v>
      </c>
      <c r="E12" s="3">
        <f t="shared" ca="1" si="3"/>
        <v>75.684864822346185</v>
      </c>
      <c r="F12" s="3">
        <f ca="1">RAND()*200+200</f>
        <v>239.01822245918206</v>
      </c>
      <c r="G12" s="3">
        <f t="shared" ca="1" si="1"/>
        <v>0.97740589985727133</v>
      </c>
      <c r="H12" s="3" t="s">
        <v>55</v>
      </c>
      <c r="I12" s="3" t="s">
        <v>72</v>
      </c>
    </row>
    <row r="13" spans="1:9" x14ac:dyDescent="0.2">
      <c r="A13" s="3" t="s">
        <v>12</v>
      </c>
      <c r="B13" s="3" t="s">
        <v>35</v>
      </c>
      <c r="C13" s="3" t="s">
        <v>51</v>
      </c>
      <c r="D13" s="3">
        <v>3200</v>
      </c>
      <c r="E13" s="3">
        <f t="shared" ca="1" si="3"/>
        <v>55.170823692907021</v>
      </c>
      <c r="F13" s="3">
        <f ca="1">RAND()*200+200</f>
        <v>220.1827479909214</v>
      </c>
      <c r="G13" s="3">
        <v>0.98</v>
      </c>
      <c r="H13" s="3" t="s">
        <v>55</v>
      </c>
      <c r="I13" s="3" t="s">
        <v>72</v>
      </c>
    </row>
    <row r="14" spans="1:9" x14ac:dyDescent="0.2">
      <c r="A14" s="3" t="s">
        <v>13</v>
      </c>
      <c r="B14" s="3" t="s">
        <v>35</v>
      </c>
      <c r="C14" s="3" t="s">
        <v>51</v>
      </c>
      <c r="D14" s="3">
        <v>3250</v>
      </c>
      <c r="E14" s="3">
        <f t="shared" ca="1" si="3"/>
        <v>59.990273996659596</v>
      </c>
      <c r="F14" s="3">
        <f t="shared" ca="1" si="2"/>
        <v>371.700217754824</v>
      </c>
      <c r="G14" s="3">
        <f t="shared" ca="1" si="1"/>
        <v>0.89163802058959241</v>
      </c>
      <c r="H14" s="3" t="s">
        <v>55</v>
      </c>
      <c r="I14" s="3" t="s">
        <v>72</v>
      </c>
    </row>
    <row r="15" spans="1:9" x14ac:dyDescent="0.2">
      <c r="A15" s="3" t="s">
        <v>14</v>
      </c>
      <c r="B15" s="3" t="s">
        <v>35</v>
      </c>
      <c r="C15" s="3" t="s">
        <v>51</v>
      </c>
      <c r="D15" s="3">
        <v>3300</v>
      </c>
      <c r="E15" s="3">
        <f t="shared" ca="1" si="3"/>
        <v>60.985124023383037</v>
      </c>
      <c r="F15" s="3">
        <f t="shared" ca="1" si="2"/>
        <v>367.31671559873996</v>
      </c>
      <c r="G15" s="3">
        <v>0.98</v>
      </c>
      <c r="H15" s="3" t="s">
        <v>55</v>
      </c>
      <c r="I15" s="3" t="s">
        <v>72</v>
      </c>
    </row>
    <row r="16" spans="1:9" x14ac:dyDescent="0.2">
      <c r="A16" s="3" t="s">
        <v>15</v>
      </c>
      <c r="B16" s="3" t="s">
        <v>35</v>
      </c>
      <c r="C16" s="3" t="s">
        <v>51</v>
      </c>
      <c r="D16" s="3">
        <v>3350</v>
      </c>
      <c r="E16" s="3">
        <f t="shared" ca="1" si="3"/>
        <v>67.146568133929208</v>
      </c>
      <c r="F16" s="3">
        <f t="shared" ca="1" si="2"/>
        <v>382.3555212675962</v>
      </c>
      <c r="G16" s="3">
        <v>0.98</v>
      </c>
      <c r="H16" s="3" t="s">
        <v>55</v>
      </c>
      <c r="I16" s="3" t="s">
        <v>72</v>
      </c>
    </row>
    <row r="17" spans="1:9" x14ac:dyDescent="0.2">
      <c r="A17" s="3" t="s">
        <v>16</v>
      </c>
      <c r="B17" s="3" t="s">
        <v>35</v>
      </c>
      <c r="C17" s="3" t="s">
        <v>51</v>
      </c>
      <c r="D17" s="3">
        <v>3400</v>
      </c>
      <c r="E17" s="3">
        <f t="shared" ca="1" si="3"/>
        <v>69.525918599406864</v>
      </c>
      <c r="F17" s="3">
        <f t="shared" ca="1" si="2"/>
        <v>328.68017986412224</v>
      </c>
      <c r="G17" s="3">
        <v>0.98</v>
      </c>
      <c r="H17" s="3" t="s">
        <v>55</v>
      </c>
      <c r="I17" s="3" t="s">
        <v>72</v>
      </c>
    </row>
    <row r="18" spans="1:9" x14ac:dyDescent="0.2">
      <c r="A18" s="3" t="s">
        <v>17</v>
      </c>
      <c r="B18" s="3" t="s">
        <v>35</v>
      </c>
      <c r="C18" s="3" t="s">
        <v>51</v>
      </c>
      <c r="D18" s="3">
        <v>3450</v>
      </c>
      <c r="E18" s="3">
        <f t="shared" ca="1" si="3"/>
        <v>72.841084439337749</v>
      </c>
      <c r="F18" s="3">
        <f t="shared" ca="1" si="2"/>
        <v>291.05012259537108</v>
      </c>
      <c r="G18" s="3">
        <f t="shared" ca="1" si="1"/>
        <v>0.88430232380835239</v>
      </c>
      <c r="H18" s="3" t="s">
        <v>55</v>
      </c>
      <c r="I18" s="3" t="s">
        <v>72</v>
      </c>
    </row>
    <row r="19" spans="1:9" x14ac:dyDescent="0.2">
      <c r="A19" s="3" t="s">
        <v>18</v>
      </c>
      <c r="B19" s="3" t="s">
        <v>35</v>
      </c>
      <c r="C19" s="3" t="s">
        <v>52</v>
      </c>
      <c r="D19" s="3">
        <v>1000</v>
      </c>
      <c r="E19" s="3">
        <f ca="1">RAND()*10+20</f>
        <v>21.895213625039798</v>
      </c>
      <c r="F19" s="3">
        <f t="shared" ca="1" si="2"/>
        <v>262.86665909353985</v>
      </c>
      <c r="G19" s="3">
        <f t="shared" ca="1" si="1"/>
        <v>0.84790636878958858</v>
      </c>
      <c r="H19" s="3" t="s">
        <v>73</v>
      </c>
      <c r="I19" s="3" t="s">
        <v>72</v>
      </c>
    </row>
    <row r="20" spans="1:9" x14ac:dyDescent="0.2">
      <c r="A20" s="3" t="s">
        <v>19</v>
      </c>
      <c r="B20" s="3" t="s">
        <v>35</v>
      </c>
      <c r="C20" s="3" t="s">
        <v>52</v>
      </c>
      <c r="D20" s="3">
        <v>1050</v>
      </c>
      <c r="E20" s="3">
        <f t="shared" ref="E20:E31" ca="1" si="4">RAND()*10+20</f>
        <v>28.840655424780387</v>
      </c>
      <c r="F20" s="3">
        <f t="shared" ca="1" si="2"/>
        <v>312.78499331678614</v>
      </c>
      <c r="G20" s="3">
        <f t="shared" ca="1" si="1"/>
        <v>0.89108001467256959</v>
      </c>
      <c r="H20" s="3" t="s">
        <v>73</v>
      </c>
      <c r="I20" s="3" t="s">
        <v>72</v>
      </c>
    </row>
    <row r="21" spans="1:9" x14ac:dyDescent="0.2">
      <c r="A21" s="3" t="s">
        <v>20</v>
      </c>
      <c r="B21" s="3" t="s">
        <v>35</v>
      </c>
      <c r="C21" s="3" t="s">
        <v>52</v>
      </c>
      <c r="D21" s="3">
        <v>1100</v>
      </c>
      <c r="E21" s="3">
        <f t="shared" ca="1" si="4"/>
        <v>27.900663453066841</v>
      </c>
      <c r="F21" s="3">
        <f t="shared" ca="1" si="2"/>
        <v>374.52721260003364</v>
      </c>
      <c r="G21" s="3">
        <f t="shared" ca="1" si="1"/>
        <v>0.89995299186590227</v>
      </c>
      <c r="H21" s="3" t="s">
        <v>73</v>
      </c>
      <c r="I21" s="3" t="s">
        <v>72</v>
      </c>
    </row>
    <row r="22" spans="1:9" x14ac:dyDescent="0.2">
      <c r="A22" s="3" t="s">
        <v>21</v>
      </c>
      <c r="B22" s="3" t="s">
        <v>35</v>
      </c>
      <c r="C22" s="3" t="s">
        <v>52</v>
      </c>
      <c r="D22" s="3">
        <v>1150</v>
      </c>
      <c r="E22" s="3">
        <f t="shared" ca="1" si="4"/>
        <v>27.088527657437517</v>
      </c>
      <c r="F22" s="3">
        <f t="shared" ca="1" si="2"/>
        <v>308.43605299688409</v>
      </c>
      <c r="G22" s="3">
        <f t="shared" ca="1" si="1"/>
        <v>0.84050176619137285</v>
      </c>
      <c r="H22" s="3" t="s">
        <v>73</v>
      </c>
      <c r="I22" s="3" t="s">
        <v>72</v>
      </c>
    </row>
    <row r="23" spans="1:9" x14ac:dyDescent="0.2">
      <c r="A23" s="3" t="s">
        <v>22</v>
      </c>
      <c r="B23" s="3" t="s">
        <v>35</v>
      </c>
      <c r="C23" s="3" t="s">
        <v>52</v>
      </c>
      <c r="D23" s="3">
        <v>1200</v>
      </c>
      <c r="E23" s="3">
        <f t="shared" ca="1" si="4"/>
        <v>25.885032492894776</v>
      </c>
      <c r="F23" s="3">
        <f t="shared" ca="1" si="2"/>
        <v>308.26416937848711</v>
      </c>
      <c r="G23" s="3">
        <f t="shared" ca="1" si="1"/>
        <v>0.89379855555436527</v>
      </c>
      <c r="H23" s="3" t="s">
        <v>73</v>
      </c>
      <c r="I23" s="3" t="s">
        <v>72</v>
      </c>
    </row>
    <row r="24" spans="1:9" x14ac:dyDescent="0.2">
      <c r="A24" s="3" t="s">
        <v>23</v>
      </c>
      <c r="B24" s="3" t="s">
        <v>35</v>
      </c>
      <c r="C24" s="3" t="s">
        <v>52</v>
      </c>
      <c r="D24" s="3">
        <v>1250</v>
      </c>
      <c r="E24" s="3">
        <f t="shared" ca="1" si="4"/>
        <v>20.927718293495928</v>
      </c>
      <c r="F24" s="3">
        <f t="shared" ca="1" si="2"/>
        <v>293.50249133623885</v>
      </c>
      <c r="G24" s="3">
        <f t="shared" ca="1" si="1"/>
        <v>0.94957661013469596</v>
      </c>
      <c r="H24" s="3" t="s">
        <v>73</v>
      </c>
      <c r="I24" s="3" t="s">
        <v>72</v>
      </c>
    </row>
    <row r="25" spans="1:9" x14ac:dyDescent="0.2">
      <c r="A25" s="3" t="s">
        <v>24</v>
      </c>
      <c r="B25" s="3" t="s">
        <v>35</v>
      </c>
      <c r="C25" s="3" t="s">
        <v>52</v>
      </c>
      <c r="D25" s="3">
        <v>1300</v>
      </c>
      <c r="E25" s="3">
        <f t="shared" ca="1" si="4"/>
        <v>20.979233777936244</v>
      </c>
      <c r="F25" s="3">
        <f t="shared" ca="1" si="2"/>
        <v>357.6251165649835</v>
      </c>
      <c r="G25" s="3">
        <f t="shared" ca="1" si="1"/>
        <v>0.87795664954996133</v>
      </c>
      <c r="H25" s="3" t="s">
        <v>73</v>
      </c>
      <c r="I25" s="3" t="s">
        <v>72</v>
      </c>
    </row>
    <row r="26" spans="1:9" x14ac:dyDescent="0.2">
      <c r="A26" s="3" t="s">
        <v>25</v>
      </c>
      <c r="B26" s="3" t="s">
        <v>35</v>
      </c>
      <c r="C26" s="3" t="s">
        <v>52</v>
      </c>
      <c r="D26" s="3">
        <v>1350</v>
      </c>
      <c r="E26" s="3">
        <f t="shared" ca="1" si="4"/>
        <v>23.315873936901973</v>
      </c>
      <c r="F26" s="3">
        <f t="shared" ca="1" si="2"/>
        <v>307.30951429882441</v>
      </c>
      <c r="G26" s="3">
        <f t="shared" ca="1" si="1"/>
        <v>0.92492891759774043</v>
      </c>
      <c r="H26" s="3" t="s">
        <v>73</v>
      </c>
      <c r="I26" s="3" t="s">
        <v>72</v>
      </c>
    </row>
    <row r="27" spans="1:9" x14ac:dyDescent="0.2">
      <c r="A27" s="3" t="s">
        <v>26</v>
      </c>
      <c r="B27" s="3" t="s">
        <v>35</v>
      </c>
      <c r="C27" s="3" t="s">
        <v>52</v>
      </c>
      <c r="D27" s="3">
        <v>1400</v>
      </c>
      <c r="E27" s="3">
        <f t="shared" ca="1" si="4"/>
        <v>25.142252868249653</v>
      </c>
      <c r="F27" s="3">
        <f t="shared" ca="1" si="2"/>
        <v>265.99217652182631</v>
      </c>
      <c r="G27" s="3">
        <f t="shared" ca="1" si="1"/>
        <v>0.89080598542501266</v>
      </c>
      <c r="H27" s="3" t="s">
        <v>73</v>
      </c>
      <c r="I27" s="3" t="s">
        <v>72</v>
      </c>
    </row>
    <row r="28" spans="1:9" x14ac:dyDescent="0.2">
      <c r="A28" s="3" t="s">
        <v>27</v>
      </c>
      <c r="B28" s="3" t="s">
        <v>35</v>
      </c>
      <c r="C28" s="3" t="s">
        <v>52</v>
      </c>
      <c r="D28" s="3">
        <v>1450</v>
      </c>
      <c r="E28" s="3">
        <f t="shared" ca="1" si="4"/>
        <v>23.636294324057431</v>
      </c>
      <c r="F28" s="3">
        <f t="shared" ca="1" si="2"/>
        <v>280.43172172020007</v>
      </c>
      <c r="G28" s="3">
        <f t="shared" ca="1" si="1"/>
        <v>0.9672050864985211</v>
      </c>
      <c r="H28" s="3" t="s">
        <v>73</v>
      </c>
      <c r="I28" s="3" t="s">
        <v>72</v>
      </c>
    </row>
    <row r="29" spans="1:9" x14ac:dyDescent="0.2">
      <c r="A29" s="3" t="s">
        <v>28</v>
      </c>
      <c r="B29" s="3" t="s">
        <v>35</v>
      </c>
      <c r="C29" s="3" t="s">
        <v>52</v>
      </c>
      <c r="D29" s="3">
        <v>1500</v>
      </c>
      <c r="E29" s="3">
        <f t="shared" ca="1" si="4"/>
        <v>23.48716304473529</v>
      </c>
      <c r="F29" s="3">
        <f t="shared" ca="1" si="2"/>
        <v>356.71439553777924</v>
      </c>
      <c r="G29" s="3">
        <f t="shared" ca="1" si="1"/>
        <v>0.83811913648601311</v>
      </c>
      <c r="H29" s="3" t="s">
        <v>73</v>
      </c>
      <c r="I29" s="3" t="s">
        <v>72</v>
      </c>
    </row>
    <row r="30" spans="1:9" x14ac:dyDescent="0.2">
      <c r="A30" s="3" t="s">
        <v>29</v>
      </c>
      <c r="B30" s="3" t="s">
        <v>35</v>
      </c>
      <c r="C30" s="3" t="s">
        <v>52</v>
      </c>
      <c r="D30" s="3">
        <v>1550</v>
      </c>
      <c r="E30" s="3">
        <f t="shared" ca="1" si="4"/>
        <v>23.722783373805498</v>
      </c>
      <c r="F30" s="3">
        <f t="shared" ca="1" si="2"/>
        <v>290.97751944913523</v>
      </c>
      <c r="G30" s="3">
        <f t="shared" ca="1" si="1"/>
        <v>0.86347064566809906</v>
      </c>
      <c r="H30" s="3" t="s">
        <v>73</v>
      </c>
      <c r="I30" s="3" t="s">
        <v>72</v>
      </c>
    </row>
    <row r="31" spans="1:9" x14ac:dyDescent="0.2">
      <c r="A31" s="3" t="s">
        <v>30</v>
      </c>
      <c r="B31" s="3" t="s">
        <v>35</v>
      </c>
      <c r="C31" s="3" t="s">
        <v>52</v>
      </c>
      <c r="D31" s="3">
        <v>1600</v>
      </c>
      <c r="E31" s="3">
        <f t="shared" ca="1" si="4"/>
        <v>23.55545880342002</v>
      </c>
      <c r="F31" s="3">
        <f t="shared" ca="1" si="2"/>
        <v>301.05613765346095</v>
      </c>
      <c r="G31" s="3">
        <f t="shared" ca="1" si="1"/>
        <v>0.96210576495878142</v>
      </c>
      <c r="H31" s="3" t="s">
        <v>73</v>
      </c>
      <c r="I31" s="3" t="s">
        <v>72</v>
      </c>
    </row>
    <row r="32" spans="1:9" x14ac:dyDescent="0.2">
      <c r="A32" s="3" t="s">
        <v>31</v>
      </c>
      <c r="B32" s="3" t="s">
        <v>37</v>
      </c>
      <c r="C32" s="3" t="s">
        <v>37</v>
      </c>
      <c r="D32" s="3">
        <v>5000</v>
      </c>
      <c r="E32" s="3">
        <v>65</v>
      </c>
      <c r="F32" s="3">
        <v>1000</v>
      </c>
      <c r="G32" s="3">
        <v>0.98</v>
      </c>
      <c r="H32" s="3" t="s">
        <v>72</v>
      </c>
      <c r="I32" s="3" t="s">
        <v>74</v>
      </c>
    </row>
    <row r="33" spans="1:9" x14ac:dyDescent="0.2">
      <c r="A33" s="3" t="s">
        <v>32</v>
      </c>
      <c r="B33" s="3" t="s">
        <v>37</v>
      </c>
      <c r="C33" s="3" t="s">
        <v>37</v>
      </c>
      <c r="D33" s="3">
        <v>6000</v>
      </c>
      <c r="E33" s="3">
        <v>60</v>
      </c>
      <c r="F33" s="3">
        <v>1200</v>
      </c>
      <c r="G33" s="3">
        <f t="shared" ca="1" si="1"/>
        <v>0.86026554349627438</v>
      </c>
      <c r="H33" s="3" t="s">
        <v>72</v>
      </c>
      <c r="I33" s="3" t="s">
        <v>74</v>
      </c>
    </row>
    <row r="34" spans="1:9" x14ac:dyDescent="0.2">
      <c r="A34" s="3" t="s">
        <v>33</v>
      </c>
      <c r="B34" s="3" t="s">
        <v>37</v>
      </c>
      <c r="C34" s="3" t="s">
        <v>37</v>
      </c>
      <c r="D34" s="3">
        <v>7000</v>
      </c>
      <c r="E34" s="3">
        <f t="shared" ref="E34" ca="1" si="5">RAND()*50+50</f>
        <v>93.262676216957374</v>
      </c>
      <c r="F34" s="3">
        <v>1200</v>
      </c>
      <c r="G34" s="3">
        <v>0.98</v>
      </c>
      <c r="H34" s="3" t="s">
        <v>72</v>
      </c>
      <c r="I34" s="3" t="s">
        <v>74</v>
      </c>
    </row>
    <row r="35" spans="1:9" x14ac:dyDescent="0.2">
      <c r="A35" s="3" t="s">
        <v>34</v>
      </c>
      <c r="B35" s="3" t="s">
        <v>37</v>
      </c>
      <c r="C35" s="3" t="s">
        <v>37</v>
      </c>
      <c r="D35" s="3">
        <v>8000</v>
      </c>
      <c r="E35" s="3">
        <v>70</v>
      </c>
      <c r="F35" s="3">
        <v>1400</v>
      </c>
      <c r="G35" s="3">
        <v>0.98</v>
      </c>
      <c r="H35" s="3" t="s">
        <v>72</v>
      </c>
      <c r="I35" s="3" t="s">
        <v>74</v>
      </c>
    </row>
    <row r="36" spans="1:9" x14ac:dyDescent="0.2">
      <c r="A36" s="3" t="s">
        <v>38</v>
      </c>
      <c r="B36" s="3" t="s">
        <v>49</v>
      </c>
      <c r="C36" s="3" t="s">
        <v>53</v>
      </c>
      <c r="D36" s="3">
        <v>3000</v>
      </c>
      <c r="E36" s="3">
        <f ca="1">RAND()*10+20</f>
        <v>20.509571460836835</v>
      </c>
      <c r="F36" s="3">
        <f ca="1">RAND()*10+20</f>
        <v>28.067801084592894</v>
      </c>
      <c r="G36" s="3">
        <f t="shared" ca="1" si="1"/>
        <v>0.96975212322908455</v>
      </c>
      <c r="H36" s="3" t="s">
        <v>75</v>
      </c>
      <c r="I36" s="3" t="s">
        <v>75</v>
      </c>
    </row>
    <row r="37" spans="1:9" x14ac:dyDescent="0.2">
      <c r="A37" s="3" t="s">
        <v>39</v>
      </c>
      <c r="B37" s="3" t="s">
        <v>49</v>
      </c>
      <c r="C37" s="3" t="s">
        <v>53</v>
      </c>
      <c r="D37" s="3">
        <v>3050</v>
      </c>
      <c r="E37" s="3">
        <f t="shared" ref="E37:F46" ca="1" si="6">RAND()*10+20</f>
        <v>23.173077340221482</v>
      </c>
      <c r="F37" s="3">
        <f t="shared" ca="1" si="6"/>
        <v>28.594684100752133</v>
      </c>
      <c r="G37" s="3">
        <f t="shared" ca="1" si="1"/>
        <v>0.94998583278627546</v>
      </c>
      <c r="H37" s="3" t="s">
        <v>75</v>
      </c>
      <c r="I37" s="3" t="s">
        <v>75</v>
      </c>
    </row>
    <row r="38" spans="1:9" x14ac:dyDescent="0.2">
      <c r="A38" s="3" t="s">
        <v>40</v>
      </c>
      <c r="B38" s="3" t="s">
        <v>49</v>
      </c>
      <c r="C38" s="3" t="s">
        <v>53</v>
      </c>
      <c r="D38" s="3">
        <v>3100</v>
      </c>
      <c r="E38" s="3">
        <f t="shared" ca="1" si="6"/>
        <v>27.767982434684455</v>
      </c>
      <c r="F38" s="3">
        <f t="shared" ca="1" si="6"/>
        <v>27.017818426382902</v>
      </c>
      <c r="G38" s="3">
        <f t="shared" ca="1" si="1"/>
        <v>0.90582349892023939</v>
      </c>
      <c r="H38" s="3" t="s">
        <v>75</v>
      </c>
      <c r="I38" s="3" t="s">
        <v>75</v>
      </c>
    </row>
    <row r="39" spans="1:9" x14ac:dyDescent="0.2">
      <c r="A39" s="3" t="s">
        <v>41</v>
      </c>
      <c r="B39" s="3" t="s">
        <v>49</v>
      </c>
      <c r="C39" s="3" t="s">
        <v>53</v>
      </c>
      <c r="D39" s="3">
        <v>3150</v>
      </c>
      <c r="E39" s="3">
        <f t="shared" ca="1" si="6"/>
        <v>23.270104668297371</v>
      </c>
      <c r="F39" s="3">
        <f t="shared" ca="1" si="6"/>
        <v>24.376543184188908</v>
      </c>
      <c r="G39" s="3">
        <f t="shared" ca="1" si="1"/>
        <v>0.88088944675596847</v>
      </c>
      <c r="H39" s="3" t="s">
        <v>75</v>
      </c>
      <c r="I39" s="3" t="s">
        <v>75</v>
      </c>
    </row>
    <row r="40" spans="1:9" x14ac:dyDescent="0.2">
      <c r="A40" s="3" t="s">
        <v>42</v>
      </c>
      <c r="B40" s="3" t="s">
        <v>49</v>
      </c>
      <c r="C40" s="3" t="s">
        <v>53</v>
      </c>
      <c r="D40" s="3">
        <v>3200</v>
      </c>
      <c r="E40" s="3">
        <f t="shared" ca="1" si="6"/>
        <v>25.695471434667478</v>
      </c>
      <c r="F40" s="3">
        <f t="shared" ca="1" si="6"/>
        <v>29.172877729884636</v>
      </c>
      <c r="G40" s="3">
        <f t="shared" ca="1" si="1"/>
        <v>0.86359694043111901</v>
      </c>
      <c r="H40" s="3" t="s">
        <v>75</v>
      </c>
      <c r="I40" s="3" t="s">
        <v>75</v>
      </c>
    </row>
    <row r="41" spans="1:9" x14ac:dyDescent="0.2">
      <c r="A41" s="3" t="s">
        <v>43</v>
      </c>
      <c r="B41" s="3" t="s">
        <v>49</v>
      </c>
      <c r="C41" s="3" t="s">
        <v>53</v>
      </c>
      <c r="D41" s="3">
        <v>3250</v>
      </c>
      <c r="E41" s="3">
        <f t="shared" ca="1" si="6"/>
        <v>20.29275005784789</v>
      </c>
      <c r="F41" s="3">
        <f t="shared" ca="1" si="6"/>
        <v>21.222761197286879</v>
      </c>
      <c r="G41" s="3">
        <f t="shared" ca="1" si="1"/>
        <v>0.81776170760504818</v>
      </c>
      <c r="H41" s="3" t="s">
        <v>75</v>
      </c>
      <c r="I41" s="3" t="s">
        <v>75</v>
      </c>
    </row>
    <row r="42" spans="1:9" x14ac:dyDescent="0.2">
      <c r="A42" s="3" t="s">
        <v>44</v>
      </c>
      <c r="B42" s="3" t="s">
        <v>49</v>
      </c>
      <c r="C42" s="3" t="s">
        <v>54</v>
      </c>
      <c r="D42" s="3">
        <v>6000</v>
      </c>
      <c r="E42" s="3">
        <f ca="1">RAND()*10+20</f>
        <v>22.026131398480075</v>
      </c>
      <c r="F42" s="3">
        <f t="shared" ca="1" si="6"/>
        <v>23.196483531205171</v>
      </c>
      <c r="G42" s="3">
        <f t="shared" ca="1" si="1"/>
        <v>0.82568275493461718</v>
      </c>
      <c r="H42" s="3" t="s">
        <v>75</v>
      </c>
      <c r="I42" s="3" t="s">
        <v>75</v>
      </c>
    </row>
    <row r="43" spans="1:9" x14ac:dyDescent="0.2">
      <c r="A43" s="3" t="s">
        <v>45</v>
      </c>
      <c r="B43" s="3" t="s">
        <v>49</v>
      </c>
      <c r="C43" s="3" t="s">
        <v>54</v>
      </c>
      <c r="D43" s="3">
        <v>6050</v>
      </c>
      <c r="E43" s="3">
        <f t="shared" ca="1" si="6"/>
        <v>22.40784338537966</v>
      </c>
      <c r="F43" s="3">
        <f t="shared" ca="1" si="6"/>
        <v>20.639595783933096</v>
      </c>
      <c r="G43" s="3">
        <f t="shared" ca="1" si="1"/>
        <v>0.99403235720414829</v>
      </c>
      <c r="H43" s="3" t="s">
        <v>75</v>
      </c>
      <c r="I43" s="3" t="s">
        <v>75</v>
      </c>
    </row>
    <row r="44" spans="1:9" x14ac:dyDescent="0.2">
      <c r="A44" s="3" t="s">
        <v>46</v>
      </c>
      <c r="B44" s="3" t="s">
        <v>49</v>
      </c>
      <c r="C44" s="3" t="s">
        <v>54</v>
      </c>
      <c r="D44" s="3">
        <v>6100</v>
      </c>
      <c r="E44" s="3">
        <f t="shared" ca="1" si="6"/>
        <v>28.120411808159805</v>
      </c>
      <c r="F44" s="3">
        <f t="shared" ca="1" si="6"/>
        <v>28.014976805322718</v>
      </c>
      <c r="G44" s="3">
        <f t="shared" ca="1" si="1"/>
        <v>0.81660748175943498</v>
      </c>
      <c r="H44" s="3" t="s">
        <v>75</v>
      </c>
      <c r="I44" s="3" t="s">
        <v>75</v>
      </c>
    </row>
    <row r="45" spans="1:9" x14ac:dyDescent="0.2">
      <c r="A45" s="3" t="s">
        <v>47</v>
      </c>
      <c r="B45" s="3" t="s">
        <v>49</v>
      </c>
      <c r="C45" s="3" t="s">
        <v>54</v>
      </c>
      <c r="D45" s="3">
        <v>6150</v>
      </c>
      <c r="E45" s="3">
        <f t="shared" ca="1" si="6"/>
        <v>23.574341140904494</v>
      </c>
      <c r="F45" s="3">
        <f t="shared" ca="1" si="6"/>
        <v>28.405813169610468</v>
      </c>
      <c r="G45" s="3">
        <f t="shared" ca="1" si="1"/>
        <v>0.86185997700094341</v>
      </c>
      <c r="H45" s="3" t="s">
        <v>75</v>
      </c>
      <c r="I45" s="3" t="s">
        <v>75</v>
      </c>
    </row>
    <row r="46" spans="1:9" x14ac:dyDescent="0.2">
      <c r="A46" s="3" t="s">
        <v>48</v>
      </c>
      <c r="B46" s="3" t="s">
        <v>49</v>
      </c>
      <c r="C46" s="3" t="s">
        <v>54</v>
      </c>
      <c r="D46" s="3">
        <v>6200</v>
      </c>
      <c r="E46" s="3">
        <f t="shared" ca="1" si="6"/>
        <v>29.60906273064727</v>
      </c>
      <c r="F46" s="3">
        <f t="shared" ca="1" si="6"/>
        <v>24.545656276644849</v>
      </c>
      <c r="G46" s="3">
        <f t="shared" ca="1" si="1"/>
        <v>0.98792242366725413</v>
      </c>
      <c r="H46" s="3" t="s">
        <v>75</v>
      </c>
      <c r="I46" s="3" t="s">
        <v>75</v>
      </c>
    </row>
  </sheetData>
  <mergeCells count="9">
    <mergeCell ref="G2:G3"/>
    <mergeCell ref="H2:I2"/>
    <mergeCell ref="H1:I1"/>
    <mergeCell ref="A2:A3"/>
    <mergeCell ref="B2:B3"/>
    <mergeCell ref="C2:C3"/>
    <mergeCell ref="D2:D3"/>
    <mergeCell ref="E2:E3"/>
    <mergeCell ref="F2:F3"/>
  </mergeCells>
  <phoneticPr fontId="1" type="noConversion"/>
  <dataValidations disablePrompts="1" count="1">
    <dataValidation type="list" allowBlank="1" showErrorMessage="1" promptTitle="模块类型" sqref="C32:C35 B4:B1048576" xr:uid="{BE5D2088-D66B-49E8-A1C0-8D068CC1E2E9}">
      <formula1>"系统,设备,电源,元器件,线缆"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zhiao ye</cp:lastModifiedBy>
  <dcterms:created xsi:type="dcterms:W3CDTF">2015-06-05T18:19:34Z</dcterms:created>
  <dcterms:modified xsi:type="dcterms:W3CDTF">2026-03-20T06:54:53Z</dcterms:modified>
</cp:coreProperties>
</file>